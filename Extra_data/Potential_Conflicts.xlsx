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bens\Bluesky\Twan Fork\bluesky\Extra_data\"/>
    </mc:Choice>
  </mc:AlternateContent>
  <xr:revisionPtr revIDLastSave="0" documentId="13_ncr:1_{D4C241E3-EB65-4B13-8E0B-15E7075010F3}" xr6:coauthVersionLast="47" xr6:coauthVersionMax="47" xr10:uidLastSave="{00000000-0000-0000-0000-000000000000}"/>
  <bookViews>
    <workbookView xWindow="28680" yWindow="330" windowWidth="25440" windowHeight="15270" xr2:uid="{09CB91B4-773F-4A79-81FF-B5E893824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" i="1" l="1"/>
  <c r="K53" i="1"/>
  <c r="J53" i="1"/>
  <c r="I53" i="1"/>
  <c r="B54" i="1"/>
  <c r="J51" i="1"/>
  <c r="K50" i="1"/>
  <c r="J50" i="1"/>
  <c r="I50" i="1"/>
  <c r="E51" i="1"/>
  <c r="E50" i="1"/>
  <c r="B51" i="1"/>
  <c r="J48" i="1"/>
  <c r="K47" i="1"/>
  <c r="J47" i="1"/>
  <c r="I47" i="1"/>
  <c r="E48" i="1"/>
  <c r="E47" i="1"/>
  <c r="C47" i="1"/>
  <c r="C50" i="1"/>
  <c r="E45" i="1"/>
  <c r="J45" i="1" s="1"/>
  <c r="E44" i="1"/>
  <c r="J44" i="1" s="1"/>
  <c r="C45" i="1"/>
  <c r="B45" i="1"/>
  <c r="E42" i="1"/>
  <c r="J42" i="1" s="1"/>
  <c r="E41" i="1"/>
  <c r="J41" i="1" s="1"/>
  <c r="E39" i="1"/>
  <c r="C42" i="1" s="1"/>
  <c r="E38" i="1"/>
  <c r="B42" i="1"/>
  <c r="K44" i="1"/>
  <c r="K41" i="1"/>
  <c r="J39" i="1"/>
  <c r="K38" i="1"/>
  <c r="J38" i="1"/>
  <c r="I38" i="1"/>
  <c r="B44" i="1"/>
  <c r="B41" i="1"/>
  <c r="B38" i="1"/>
  <c r="L36" i="1"/>
  <c r="J36" i="1"/>
  <c r="L35" i="1"/>
  <c r="K35" i="1"/>
  <c r="J35" i="1"/>
  <c r="I35" i="1"/>
  <c r="E36" i="1"/>
  <c r="H36" i="1" s="1"/>
  <c r="E35" i="1"/>
  <c r="H35" i="1" s="1"/>
  <c r="C36" i="1"/>
  <c r="I32" i="1"/>
  <c r="L23" i="1"/>
  <c r="L26" i="1"/>
  <c r="L30" i="1"/>
  <c r="L33" i="1"/>
  <c r="L32" i="1"/>
  <c r="L21" i="1"/>
  <c r="L20" i="1"/>
  <c r="L15" i="1"/>
  <c r="L14" i="1"/>
  <c r="L12" i="1"/>
  <c r="L11" i="1"/>
  <c r="L9" i="1"/>
  <c r="L8" i="1"/>
  <c r="L6" i="1"/>
  <c r="L5" i="1"/>
  <c r="L3" i="1"/>
  <c r="L2" i="1"/>
  <c r="H32" i="1"/>
  <c r="H30" i="1"/>
  <c r="H26" i="1"/>
  <c r="H23" i="1"/>
  <c r="H21" i="1"/>
  <c r="H20" i="1"/>
  <c r="H17" i="1"/>
  <c r="H15" i="1"/>
  <c r="H14" i="1"/>
  <c r="H12" i="1"/>
  <c r="H11" i="1"/>
  <c r="H9" i="1"/>
  <c r="H8" i="1"/>
  <c r="H6" i="1"/>
  <c r="H5" i="1"/>
  <c r="H3" i="1"/>
  <c r="H2" i="1"/>
  <c r="K32" i="1"/>
  <c r="K26" i="1"/>
  <c r="K17" i="1"/>
  <c r="K14" i="1"/>
  <c r="K11" i="1"/>
  <c r="L17" i="1"/>
  <c r="E33" i="1"/>
  <c r="J33" i="1" s="1"/>
  <c r="C32" i="1"/>
  <c r="E32" i="1" s="1"/>
  <c r="C33" i="1"/>
  <c r="K29" i="1"/>
  <c r="I23" i="1"/>
  <c r="I14" i="1"/>
  <c r="I11" i="1"/>
  <c r="I8" i="1"/>
  <c r="K2" i="1"/>
  <c r="J2" i="1"/>
  <c r="C30" i="1"/>
  <c r="E30" i="1" s="1"/>
  <c r="J30" i="1" s="1"/>
  <c r="B30" i="1"/>
  <c r="C29" i="1"/>
  <c r="E29" i="1" s="1"/>
  <c r="I29" i="1" s="1"/>
  <c r="C27" i="1"/>
  <c r="E27" i="1" s="1"/>
  <c r="J27" i="1" s="1"/>
  <c r="K23" i="1"/>
  <c r="K20" i="1"/>
  <c r="E26" i="1"/>
  <c r="J26" i="1" s="1"/>
  <c r="E24" i="1"/>
  <c r="J24" i="1" s="1"/>
  <c r="E23" i="1"/>
  <c r="J23" i="1" s="1"/>
  <c r="E21" i="1"/>
  <c r="J21" i="1" s="1"/>
  <c r="E20" i="1"/>
  <c r="J20" i="1" s="1"/>
  <c r="B26" i="1"/>
  <c r="E18" i="1"/>
  <c r="J18" i="1" s="1"/>
  <c r="E17" i="1"/>
  <c r="J17" i="1" s="1"/>
  <c r="K8" i="1"/>
  <c r="E14" i="1"/>
  <c r="J14" i="1" s="1"/>
  <c r="E12" i="1"/>
  <c r="J12" i="1" s="1"/>
  <c r="E11" i="1"/>
  <c r="J11" i="1" s="1"/>
  <c r="C15" i="1"/>
  <c r="E15" i="1" s="1"/>
  <c r="J15" i="1" s="1"/>
  <c r="E9" i="1"/>
  <c r="J9" i="1" s="1"/>
  <c r="C8" i="1"/>
  <c r="E8" i="1" s="1"/>
  <c r="J8" i="1" s="1"/>
  <c r="K5" i="1"/>
  <c r="E5" i="1"/>
  <c r="J5" i="1" s="1"/>
  <c r="E3" i="1"/>
  <c r="J3" i="1" s="1"/>
  <c r="E2" i="1"/>
  <c r="I2" i="1" s="1"/>
  <c r="C6" i="1"/>
  <c r="E6" i="1" s="1"/>
  <c r="J6" i="1" s="1"/>
  <c r="I44" i="1" l="1"/>
  <c r="I41" i="1"/>
  <c r="H33" i="1"/>
  <c r="J32" i="1"/>
  <c r="I20" i="1"/>
  <c r="I26" i="1"/>
  <c r="I5" i="1"/>
  <c r="I17" i="1"/>
  <c r="J29" i="1"/>
</calcChain>
</file>

<file path=xl/sharedStrings.xml><?xml version="1.0" encoding="utf-8"?>
<sst xmlns="http://schemas.openxmlformats.org/spreadsheetml/2006/main" count="53" uniqueCount="39">
  <si>
    <t>Routes</t>
  </si>
  <si>
    <t>Distance</t>
  </si>
  <si>
    <t>Max height</t>
  </si>
  <si>
    <t>Assigned Height</t>
  </si>
  <si>
    <t>Height at point</t>
  </si>
  <si>
    <t>Height at distance</t>
  </si>
  <si>
    <t>Allowed</t>
  </si>
  <si>
    <t>Seperation</t>
  </si>
  <si>
    <t>Normally Seperated</t>
  </si>
  <si>
    <t>04SW A A</t>
  </si>
  <si>
    <t>04 W A A</t>
  </si>
  <si>
    <t>06W R A</t>
  </si>
  <si>
    <t>04S A A</t>
  </si>
  <si>
    <t>06SE A A</t>
  </si>
  <si>
    <t>04 E A A</t>
  </si>
  <si>
    <t>06 E A A</t>
  </si>
  <si>
    <t>09 S A D</t>
  </si>
  <si>
    <t>06 S A A</t>
  </si>
  <si>
    <t>06 E+SE A A</t>
  </si>
  <si>
    <t>04 S+W+SW A A</t>
  </si>
  <si>
    <t>06 S+W A A</t>
  </si>
  <si>
    <t>Format</t>
  </si>
  <si>
    <t>Runway</t>
  </si>
  <si>
    <t>Direction(s)</t>
  </si>
  <si>
    <t xml:space="preserve">Airport </t>
  </si>
  <si>
    <t>arrival/departure</t>
  </si>
  <si>
    <t>04 SE A A</t>
  </si>
  <si>
    <t>06 W R A</t>
  </si>
  <si>
    <t>06 E R D</t>
  </si>
  <si>
    <t>Under 9000</t>
  </si>
  <si>
    <t>Assigned under 9000</t>
  </si>
  <si>
    <t>09 SE A D</t>
  </si>
  <si>
    <t>All flights from 36L can go over the stars</t>
  </si>
  <si>
    <t>36L NE A D</t>
  </si>
  <si>
    <t>09 NW A D</t>
  </si>
  <si>
    <t>09 NE A D</t>
  </si>
  <si>
    <t>36L SE A D</t>
  </si>
  <si>
    <t>09 E A D</t>
  </si>
  <si>
    <t>36L E 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</si>
</sst>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5ECD-5EAA-4252-9493-9AD2E8B684BA}">
  <dimension ref="A1:Q54"/>
  <sheetViews>
    <sheetView tabSelected="1" topLeftCell="A22" workbookViewId="0">
      <selection activeCell="M40" sqref="M40"/>
    </sheetView>
  </sheetViews>
  <sheetFormatPr defaultRowHeight="14.4" x14ac:dyDescent="0.3"/>
  <cols>
    <col min="1" max="1" width="13.77734375" bestFit="1" customWidth="1"/>
    <col min="2" max="2" width="8.44140625" bestFit="1" customWidth="1"/>
    <col min="3" max="3" width="13.44140625" bestFit="1" customWidth="1"/>
    <col min="4" max="4" width="16.33203125" bestFit="1" customWidth="1"/>
    <col min="5" max="5" width="10.109375" bestFit="1" customWidth="1"/>
    <col min="6" max="6" width="14.6640625" bestFit="1" customWidth="1"/>
    <col min="8" max="9" width="18" bestFit="1" customWidth="1"/>
    <col min="10" max="11" width="10.109375" bestFit="1" customWidth="1"/>
    <col min="12" max="12" width="19.6640625" bestFit="1" customWidth="1"/>
    <col min="13" max="13" width="11.109375" bestFit="1" customWidth="1"/>
    <col min="14" max="14" width="7.21875" bestFit="1" customWidth="1"/>
    <col min="15" max="15" width="15.6640625" bestFit="1" customWidth="1"/>
  </cols>
  <sheetData>
    <row r="1" spans="1:17" x14ac:dyDescent="0.3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H1" t="s">
        <v>29</v>
      </c>
      <c r="I1" t="s">
        <v>8</v>
      </c>
      <c r="J1" t="s">
        <v>6</v>
      </c>
      <c r="K1" t="s">
        <v>7</v>
      </c>
      <c r="L1" t="s">
        <v>30</v>
      </c>
      <c r="N1" t="s">
        <v>21</v>
      </c>
    </row>
    <row r="2" spans="1:17" x14ac:dyDescent="0.3">
      <c r="A2" t="s">
        <v>19</v>
      </c>
      <c r="B2">
        <v>15.3</v>
      </c>
      <c r="C2">
        <v>0</v>
      </c>
      <c r="D2">
        <v>2876</v>
      </c>
      <c r="E2">
        <f>C2+D2</f>
        <v>2876</v>
      </c>
      <c r="F2">
        <v>2800</v>
      </c>
      <c r="H2" t="b">
        <f>IF(E2&lt;= 9000,TRUE,FALSE)</f>
        <v>1</v>
      </c>
      <c r="I2" t="b">
        <f>IF(ABS(E2-E3)&gt;=1000,TRUE,FALSE)</f>
        <v>0</v>
      </c>
      <c r="J2" t="b">
        <f>IF(F2&lt;E2,TRUE,FALSE)</f>
        <v>1</v>
      </c>
      <c r="K2" t="b">
        <f>IF(ABS(F2-F3)&gt;=1000,TRUE,FALSE)</f>
        <v>1</v>
      </c>
      <c r="L2" t="b">
        <f>IF(F2&lt;= 9000,TRUE,FALSE)</f>
        <v>1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3">
      <c r="A3" t="s">
        <v>18</v>
      </c>
      <c r="B3">
        <v>15</v>
      </c>
      <c r="C3">
        <v>0</v>
      </c>
      <c r="D3">
        <v>2817</v>
      </c>
      <c r="E3">
        <f>C3+D3</f>
        <v>2817</v>
      </c>
      <c r="F3">
        <v>1300</v>
      </c>
      <c r="H3" t="b">
        <f>IF(E3&lt;= 9000,TRUE,FALSE)</f>
        <v>1</v>
      </c>
      <c r="J3" t="b">
        <f>IF(F3&lt;E3,TRUE,FALSE)</f>
        <v>1</v>
      </c>
      <c r="L3" t="b">
        <f>IF(F3&lt;= 9000,TRUE,FALSE)</f>
        <v>1</v>
      </c>
    </row>
    <row r="5" spans="1:17" x14ac:dyDescent="0.3">
      <c r="A5" t="s">
        <v>20</v>
      </c>
      <c r="B5">
        <v>49.9</v>
      </c>
      <c r="C5">
        <v>0</v>
      </c>
      <c r="D5">
        <v>9600</v>
      </c>
      <c r="E5">
        <f>C5+D5</f>
        <v>9600</v>
      </c>
      <c r="F5">
        <v>8000</v>
      </c>
      <c r="H5" t="b">
        <f>IF(E5&lt;= 9000,TRUE,FALSE)</f>
        <v>0</v>
      </c>
      <c r="I5" t="b">
        <f>IF(ABS(E5-E6)&gt;=1000,TRUE,FALSE)</f>
        <v>1</v>
      </c>
      <c r="J5" t="b">
        <f>IF(F5&lt;E5,TRUE,FALSE)</f>
        <v>1</v>
      </c>
      <c r="K5" t="b">
        <f>IF(ABS(F5-F6)&gt;=1000,TRUE,FALSE)</f>
        <v>1</v>
      </c>
      <c r="L5" t="b">
        <f>IF(F5&lt;= 9000,TRUE,FALSE)</f>
        <v>1</v>
      </c>
      <c r="N5" t="s">
        <v>32</v>
      </c>
    </row>
    <row r="6" spans="1:17" x14ac:dyDescent="0.3">
      <c r="A6" t="s">
        <v>10</v>
      </c>
      <c r="B6">
        <v>45.5</v>
      </c>
      <c r="C6">
        <f>F2</f>
        <v>2800</v>
      </c>
      <c r="D6">
        <v>8745</v>
      </c>
      <c r="E6">
        <f>C6+D6</f>
        <v>11545</v>
      </c>
      <c r="F6">
        <v>9000</v>
      </c>
      <c r="H6" t="b">
        <f>IF(E6&lt;= 9000,TRUE,FALSE)</f>
        <v>0</v>
      </c>
      <c r="J6" t="b">
        <f>IF(F6&lt;E6,TRUE,FALSE)</f>
        <v>1</v>
      </c>
      <c r="L6" t="b">
        <f>IF(F6&lt;= 9000,TRUE,FALSE)</f>
        <v>1</v>
      </c>
    </row>
    <row r="8" spans="1:17" x14ac:dyDescent="0.3">
      <c r="A8" t="s">
        <v>9</v>
      </c>
      <c r="B8">
        <v>65.5</v>
      </c>
      <c r="C8">
        <f>F2</f>
        <v>2800</v>
      </c>
      <c r="D8">
        <v>12632</v>
      </c>
      <c r="E8">
        <f>C8+D8</f>
        <v>15432</v>
      </c>
      <c r="F8">
        <v>9000</v>
      </c>
      <c r="H8" t="b">
        <f>IF(E8&lt;= 9000,TRUE,FALSE)</f>
        <v>0</v>
      </c>
      <c r="I8" t="b">
        <f>IF(ABS(E8-E9)&gt;=1000,TRUE,FALSE)</f>
        <v>1</v>
      </c>
      <c r="J8" t="b">
        <f>IF(F8&lt;E8,TRUE,FALSE)</f>
        <v>1</v>
      </c>
      <c r="K8" t="b">
        <f>IF(ABS(F8-F9)&gt;=1000,TRUE,FALSE)</f>
        <v>1</v>
      </c>
      <c r="L8" t="b">
        <f>IF(F8&lt;= 9000,TRUE,FALSE)</f>
        <v>1</v>
      </c>
      <c r="N8">
        <v>38.9</v>
      </c>
    </row>
    <row r="9" spans="1:17" x14ac:dyDescent="0.3">
      <c r="A9" t="s">
        <v>17</v>
      </c>
      <c r="B9">
        <v>72.599999999999994</v>
      </c>
      <c r="C9">
        <v>0</v>
      </c>
      <c r="D9">
        <v>14012</v>
      </c>
      <c r="E9">
        <f>C9+D9</f>
        <v>14012</v>
      </c>
      <c r="F9">
        <v>8000</v>
      </c>
      <c r="H9" t="b">
        <f>IF(E9&lt;= 9000,TRUE,FALSE)</f>
        <v>0</v>
      </c>
      <c r="J9" t="b">
        <f>IF(F9&lt;E9,TRUE,FALSE)</f>
        <v>1</v>
      </c>
      <c r="L9" t="b">
        <f>IF(F9&lt;= 9000,TRUE,FALSE)</f>
        <v>1</v>
      </c>
    </row>
    <row r="11" spans="1:17" x14ac:dyDescent="0.3">
      <c r="A11" t="s">
        <v>17</v>
      </c>
      <c r="B11">
        <v>91.9</v>
      </c>
      <c r="C11">
        <v>0</v>
      </c>
      <c r="D11">
        <v>17762</v>
      </c>
      <c r="E11">
        <f>C11+D11</f>
        <v>17762</v>
      </c>
      <c r="F11">
        <v>9000</v>
      </c>
      <c r="H11" t="b">
        <f>IF(E11&lt;= 9000,TRUE,FALSE)</f>
        <v>0</v>
      </c>
      <c r="I11" t="b">
        <f>IF(ABS(E11-E12)&gt;=1000,TRUE,FALSE)</f>
        <v>1</v>
      </c>
      <c r="J11" t="b">
        <f>IF(F11&lt;E11,TRUE,FALSE)</f>
        <v>1</v>
      </c>
      <c r="K11" t="b">
        <f>IF(ABS(F11-F12)&gt;=1000,TRUE,FALSE)</f>
        <v>1</v>
      </c>
      <c r="L11" t="b">
        <f>IF(F11&lt;= 9000,TRUE,FALSE)</f>
        <v>1</v>
      </c>
    </row>
    <row r="12" spans="1:17" x14ac:dyDescent="0.3">
      <c r="A12" t="s">
        <v>27</v>
      </c>
      <c r="B12">
        <v>57.7</v>
      </c>
      <c r="C12">
        <v>0</v>
      </c>
      <c r="D12">
        <v>11116</v>
      </c>
      <c r="E12">
        <f>C12+D12</f>
        <v>11116</v>
      </c>
      <c r="F12">
        <v>8000</v>
      </c>
      <c r="H12" t="b">
        <f>IF(E12&lt;= 9000,TRUE,FALSE)</f>
        <v>0</v>
      </c>
      <c r="J12" t="b">
        <f>IF(F12&lt;E12,TRUE,FALSE)</f>
        <v>1</v>
      </c>
      <c r="L12" t="b">
        <f>IF(F12&lt;= 9000,TRUE,FALSE)</f>
        <v>1</v>
      </c>
    </row>
    <row r="14" spans="1:17" x14ac:dyDescent="0.3">
      <c r="A14" t="s">
        <v>11</v>
      </c>
      <c r="B14">
        <v>46.6</v>
      </c>
      <c r="C14">
        <v>0</v>
      </c>
      <c r="D14">
        <v>8959</v>
      </c>
      <c r="E14">
        <f>C14+D14</f>
        <v>8959</v>
      </c>
      <c r="F14">
        <v>8000</v>
      </c>
      <c r="H14" t="b">
        <f>IF(E14&lt;= 9000,TRUE,FALSE)</f>
        <v>1</v>
      </c>
      <c r="I14" t="b">
        <f>IF(ABS(E14-E15)&gt;=1000,TRUE,FALSE)</f>
        <v>1</v>
      </c>
      <c r="J14" t="b">
        <f>IF(F14&lt;E14,TRUE,FALSE)</f>
        <v>1</v>
      </c>
      <c r="K14" t="b">
        <f>IF(ABS(F14-F15)&gt;=1000,TRUE,FALSE)</f>
        <v>1</v>
      </c>
      <c r="L14" t="b">
        <f>IF(F14&lt;= 9000,TRUE,FALSE)</f>
        <v>1</v>
      </c>
    </row>
    <row r="15" spans="1:17" x14ac:dyDescent="0.3">
      <c r="A15" t="s">
        <v>12</v>
      </c>
      <c r="B15">
        <v>75.7</v>
      </c>
      <c r="C15">
        <f>F2</f>
        <v>2800</v>
      </c>
      <c r="D15">
        <v>14614</v>
      </c>
      <c r="E15">
        <f>C15+D15</f>
        <v>17414</v>
      </c>
      <c r="F15">
        <v>9000</v>
      </c>
      <c r="H15" t="b">
        <f>IF(E15&lt;= 9000,TRUE,FALSE)</f>
        <v>0</v>
      </c>
      <c r="J15" t="b">
        <f>IF(F15&lt;E15,TRUE,FALSE)</f>
        <v>1</v>
      </c>
      <c r="L15" t="b">
        <f>IF(F15&lt;= 9000,TRUE,FALSE)</f>
        <v>1</v>
      </c>
    </row>
    <row r="17" spans="1:12" x14ac:dyDescent="0.3">
      <c r="A17" t="s">
        <v>13</v>
      </c>
      <c r="B17">
        <v>51.2</v>
      </c>
      <c r="C17">
        <v>0</v>
      </c>
      <c r="D17">
        <v>9853</v>
      </c>
      <c r="E17">
        <f t="shared" ref="E17:E18" si="0">C17+D17</f>
        <v>9853</v>
      </c>
      <c r="F17">
        <v>9000</v>
      </c>
      <c r="H17" t="b">
        <f>IF(E17&lt;= 9000,TRUE,FALSE)</f>
        <v>0</v>
      </c>
      <c r="I17" t="b">
        <f>IF(ABS(E17-E18)&gt;=1000,TRUE,FALSE)</f>
        <v>1</v>
      </c>
      <c r="J17" t="b">
        <f>IF(F17&lt;E17,TRUE,FALSE)</f>
        <v>1</v>
      </c>
      <c r="K17" t="b">
        <f>IF(ABS(F17-F18)&gt;=1000,TRUE,FALSE)</f>
        <v>1</v>
      </c>
      <c r="L17" t="b">
        <f>IF(F17&lt;= 10000,TRUE,FALSE)</f>
        <v>1</v>
      </c>
    </row>
    <row r="18" spans="1:12" x14ac:dyDescent="0.3">
      <c r="A18" t="s">
        <v>28</v>
      </c>
      <c r="B18">
        <v>39.700000000000003</v>
      </c>
      <c r="C18">
        <v>0</v>
      </c>
      <c r="D18">
        <v>7550</v>
      </c>
      <c r="E18">
        <f t="shared" si="0"/>
        <v>7550</v>
      </c>
      <c r="F18">
        <v>7500</v>
      </c>
      <c r="J18" t="b">
        <f>IF(F18&lt;E18,TRUE,FALSE)</f>
        <v>1</v>
      </c>
    </row>
    <row r="20" spans="1:12" x14ac:dyDescent="0.3">
      <c r="A20" t="s">
        <v>26</v>
      </c>
      <c r="B20">
        <v>23.9</v>
      </c>
      <c r="C20">
        <v>0</v>
      </c>
      <c r="D20">
        <v>4547</v>
      </c>
      <c r="E20">
        <f>C20+D20</f>
        <v>4547</v>
      </c>
      <c r="F20">
        <v>4500</v>
      </c>
      <c r="H20" t="b">
        <f>IF(E20&lt;= 9000,TRUE,FALSE)</f>
        <v>1</v>
      </c>
      <c r="I20" t="b">
        <f>IF(ABS(E20-E21)&gt;=1000,TRUE,FALSE)</f>
        <v>1</v>
      </c>
      <c r="J20" t="b">
        <f>IF(F20&lt;E20,TRUE,FALSE)</f>
        <v>1</v>
      </c>
      <c r="K20" t="b">
        <f>IF(ABS(F20-F21)&gt;=1000,TRUE,FALSE)</f>
        <v>1</v>
      </c>
      <c r="L20" t="b">
        <f>IF(F20&lt;= 9000,TRUE,FALSE)</f>
        <v>1</v>
      </c>
    </row>
    <row r="21" spans="1:12" x14ac:dyDescent="0.3">
      <c r="A21" t="s">
        <v>15</v>
      </c>
      <c r="B21">
        <v>34.9</v>
      </c>
      <c r="C21">
        <v>0</v>
      </c>
      <c r="D21">
        <v>6685</v>
      </c>
      <c r="E21">
        <f>C21+D21</f>
        <v>6685</v>
      </c>
      <c r="F21">
        <v>6500</v>
      </c>
      <c r="H21" t="b">
        <f>IF(E21&lt;= 9000,TRUE,FALSE)</f>
        <v>1</v>
      </c>
      <c r="J21" t="b">
        <f>IF(F21&lt;E21,TRUE,FALSE)</f>
        <v>1</v>
      </c>
      <c r="L21" t="b">
        <f>IF(F21&lt;= 9000,TRUE,FALSE)</f>
        <v>1</v>
      </c>
    </row>
    <row r="23" spans="1:12" x14ac:dyDescent="0.3">
      <c r="A23" t="s">
        <v>14</v>
      </c>
      <c r="B23">
        <v>24.6</v>
      </c>
      <c r="C23">
        <v>0</v>
      </c>
      <c r="D23">
        <v>4683</v>
      </c>
      <c r="E23">
        <f>C23+D23</f>
        <v>4683</v>
      </c>
      <c r="F23">
        <v>4500</v>
      </c>
      <c r="H23" t="b">
        <f>IF(E23&lt;= 9000,TRUE,FALSE)</f>
        <v>1</v>
      </c>
      <c r="I23" t="b">
        <f>IF(ABS(E23-E24)&gt;=1000,TRUE,FALSE)</f>
        <v>0</v>
      </c>
      <c r="J23" t="b">
        <f>IF(F23&lt;E23,TRUE,FALSE)</f>
        <v>1</v>
      </c>
      <c r="K23" t="b">
        <f>IF(ABS(F23-F24)&gt;=1000,TRUE,FALSE)</f>
        <v>1</v>
      </c>
      <c r="L23" t="b">
        <f>IF(F23&lt;= 9000,TRUE,FALSE)</f>
        <v>1</v>
      </c>
    </row>
    <row r="24" spans="1:12" x14ac:dyDescent="0.3">
      <c r="A24" t="s">
        <v>16</v>
      </c>
      <c r="B24">
        <v>23.1</v>
      </c>
      <c r="C24">
        <v>0</v>
      </c>
      <c r="D24">
        <v>4324</v>
      </c>
      <c r="E24">
        <f>C24+D24</f>
        <v>4324</v>
      </c>
      <c r="F24">
        <v>3500</v>
      </c>
      <c r="J24" t="b">
        <f>IF(F24&lt;E24,TRUE,FALSE)</f>
        <v>1</v>
      </c>
    </row>
    <row r="26" spans="1:12" x14ac:dyDescent="0.3">
      <c r="A26" t="s">
        <v>15</v>
      </c>
      <c r="B26">
        <f>B21+3.1</f>
        <v>38</v>
      </c>
      <c r="C26">
        <v>0</v>
      </c>
      <c r="D26">
        <v>7287</v>
      </c>
      <c r="E26">
        <f>C26+D26</f>
        <v>7287</v>
      </c>
      <c r="H26" t="b">
        <f>IF(E26&lt;= 9000,TRUE,FALSE)</f>
        <v>1</v>
      </c>
      <c r="I26" t="b">
        <f>IF(ABS(E26-E27)&gt;=1000,TRUE,FALSE)</f>
        <v>1</v>
      </c>
      <c r="J26" t="b">
        <f>IF(F26&lt;E26,TRUE,FALSE)</f>
        <v>1</v>
      </c>
      <c r="K26" t="b">
        <f>IF(ABS(F26-F27)&gt;=1000,TRUE,FALSE)</f>
        <v>0</v>
      </c>
      <c r="L26" t="b">
        <f>IF(F26&lt;= 9000,TRUE,FALSE)</f>
        <v>1</v>
      </c>
    </row>
    <row r="27" spans="1:12" x14ac:dyDescent="0.3">
      <c r="A27" t="s">
        <v>16</v>
      </c>
      <c r="B27">
        <v>1.3</v>
      </c>
      <c r="C27">
        <f>F24</f>
        <v>3500</v>
      </c>
      <c r="D27">
        <v>252</v>
      </c>
      <c r="E27">
        <f>C27+D27</f>
        <v>3752</v>
      </c>
      <c r="J27" t="b">
        <f>IF(F27&lt;E27,TRUE,FALSE)</f>
        <v>1</v>
      </c>
    </row>
    <row r="29" spans="1:12" x14ac:dyDescent="0.3">
      <c r="A29" t="s">
        <v>16</v>
      </c>
      <c r="B29">
        <v>18.3</v>
      </c>
      <c r="C29">
        <f>F24</f>
        <v>3500</v>
      </c>
      <c r="D29">
        <v>3459</v>
      </c>
      <c r="E29">
        <f>C29+D29</f>
        <v>6959</v>
      </c>
      <c r="F29">
        <v>6500</v>
      </c>
      <c r="I29" t="b">
        <f>IF(ABS(E29-E30)&gt;=1000,TRUE,FALSE)</f>
        <v>0</v>
      </c>
      <c r="J29" t="b">
        <f>IF(F29&lt;E29,TRUE,FALSE)</f>
        <v>1</v>
      </c>
      <c r="K29" t="b">
        <f>IF(ABS(F29-F30)&gt;=1000,TRUE,FALSE)</f>
        <v>1</v>
      </c>
    </row>
    <row r="30" spans="1:12" x14ac:dyDescent="0.3">
      <c r="A30" t="s">
        <v>26</v>
      </c>
      <c r="B30">
        <f>16.5</f>
        <v>16.5</v>
      </c>
      <c r="C30">
        <f>F20</f>
        <v>4500</v>
      </c>
      <c r="D30">
        <v>3109</v>
      </c>
      <c r="E30">
        <f>C30+D30</f>
        <v>7609</v>
      </c>
      <c r="F30">
        <v>7500</v>
      </c>
      <c r="H30" t="b">
        <f>IF(E30&lt;= 9000,TRUE,FALSE)</f>
        <v>1</v>
      </c>
      <c r="J30" t="b">
        <f>IF(F30&lt;E30,TRUE,FALSE)</f>
        <v>1</v>
      </c>
      <c r="L30" t="b">
        <f>IF(F30&lt;= 9000,TRUE,FALSE)</f>
        <v>1</v>
      </c>
    </row>
    <row r="32" spans="1:12" x14ac:dyDescent="0.3">
      <c r="A32" t="s">
        <v>15</v>
      </c>
      <c r="B32">
        <v>5.2</v>
      </c>
      <c r="C32">
        <f>F21</f>
        <v>6500</v>
      </c>
      <c r="D32">
        <v>913</v>
      </c>
      <c r="E32">
        <f>C32+D32</f>
        <v>7413</v>
      </c>
      <c r="H32" t="b">
        <f>IF(E32&lt;= 9000,TRUE,FALSE)</f>
        <v>1</v>
      </c>
      <c r="I32" t="b">
        <f>IF(ABS(E32-E33)&gt;=1000,TRUE,FALSE)</f>
        <v>1</v>
      </c>
      <c r="J32" t="b">
        <f>IF(F32&lt;E32,TRUE,FALSE)</f>
        <v>1</v>
      </c>
      <c r="K32" t="b">
        <f>IF(ABS(F32-F33)&gt;=1000,TRUE,FALSE)</f>
        <v>0</v>
      </c>
      <c r="L32" t="b">
        <f>IF(F32&lt;= 9000,TRUE,FALSE)</f>
        <v>1</v>
      </c>
    </row>
    <row r="33" spans="1:12" x14ac:dyDescent="0.3">
      <c r="A33" t="s">
        <v>14</v>
      </c>
      <c r="B33">
        <v>1.9</v>
      </c>
      <c r="C33">
        <f>F23</f>
        <v>4500</v>
      </c>
      <c r="D33">
        <v>271</v>
      </c>
      <c r="E33">
        <f>C33+D33</f>
        <v>4771</v>
      </c>
      <c r="H33" t="b">
        <f>IF(E33&lt;= 9000,TRUE,FALSE)</f>
        <v>1</v>
      </c>
      <c r="J33" t="b">
        <f>IF(F33&lt;E33,TRUE,FALSE)</f>
        <v>1</v>
      </c>
      <c r="L33" t="b">
        <f>IF(F33&lt;= 9000,TRUE,FALSE)</f>
        <v>1</v>
      </c>
    </row>
    <row r="35" spans="1:12" x14ac:dyDescent="0.3">
      <c r="A35" t="s">
        <v>31</v>
      </c>
      <c r="B35">
        <v>31.2</v>
      </c>
      <c r="C35">
        <v>0</v>
      </c>
      <c r="D35">
        <v>5898</v>
      </c>
      <c r="E35">
        <f>C35+D35</f>
        <v>5898</v>
      </c>
      <c r="H35" t="b">
        <f>IF(E35&lt;= 9000,TRUE,FALSE)</f>
        <v>1</v>
      </c>
      <c r="I35" t="b">
        <f>IF(ABS(E35-E36)&gt;=1000,TRUE,FALSE)</f>
        <v>1</v>
      </c>
      <c r="J35" t="b">
        <f>IF(F35&lt;E35,TRUE,FALSE)</f>
        <v>1</v>
      </c>
      <c r="K35" t="b">
        <f>IF(ABS(F35-F36)&gt;=1000,TRUE,FALSE)</f>
        <v>0</v>
      </c>
      <c r="L35" t="b">
        <f>IF(F35&lt;= 9000,TRUE,FALSE)</f>
        <v>1</v>
      </c>
    </row>
    <row r="36" spans="1:12" x14ac:dyDescent="0.3">
      <c r="A36" t="s">
        <v>14</v>
      </c>
      <c r="B36">
        <v>14.6</v>
      </c>
      <c r="C36">
        <f>F23</f>
        <v>4500</v>
      </c>
      <c r="D36">
        <v>2740</v>
      </c>
      <c r="E36">
        <f>C36+D36</f>
        <v>7240</v>
      </c>
      <c r="H36" t="b">
        <f>IF(E36&lt;= 9000,TRUE,FALSE)</f>
        <v>1</v>
      </c>
      <c r="J36" t="b">
        <f>IF(F36&lt;E36,TRUE,FALSE)</f>
        <v>1</v>
      </c>
      <c r="L36" t="b">
        <f>IF(F36&lt;= 9000,TRUE,FALSE)</f>
        <v>1</v>
      </c>
    </row>
    <row r="38" spans="1:12" x14ac:dyDescent="0.3">
      <c r="A38" t="s">
        <v>34</v>
      </c>
      <c r="B38">
        <f>9.6+N8</f>
        <v>48.5</v>
      </c>
      <c r="C38">
        <v>0</v>
      </c>
      <c r="D38">
        <v>9260</v>
      </c>
      <c r="E38">
        <f>C38+D38</f>
        <v>9260</v>
      </c>
      <c r="F38">
        <v>9000</v>
      </c>
      <c r="I38" t="b">
        <f>IF(ABS(E38-E39)&gt;=1000,TRUE,FALSE)</f>
        <v>1</v>
      </c>
      <c r="J38" t="b">
        <f>IF(F38&lt;E38,TRUE,FALSE)</f>
        <v>1</v>
      </c>
      <c r="K38" t="b">
        <f>IF(ABS(F38-F39)&gt;=1000,TRUE,FALSE)</f>
        <v>1</v>
      </c>
    </row>
    <row r="39" spans="1:12" x14ac:dyDescent="0.3">
      <c r="A39" t="s">
        <v>36</v>
      </c>
      <c r="B39">
        <v>53.9</v>
      </c>
      <c r="C39">
        <v>0</v>
      </c>
      <c r="D39">
        <v>10309</v>
      </c>
      <c r="E39">
        <f>C39+D39</f>
        <v>10309</v>
      </c>
      <c r="F39">
        <v>10000</v>
      </c>
      <c r="J39" t="b">
        <f>IF(F39&lt;E39,TRUE,FALSE)</f>
        <v>1</v>
      </c>
    </row>
    <row r="41" spans="1:12" x14ac:dyDescent="0.3">
      <c r="A41" t="s">
        <v>35</v>
      </c>
      <c r="B41">
        <f>N8+9</f>
        <v>47.9</v>
      </c>
      <c r="C41">
        <v>0</v>
      </c>
      <c r="D41">
        <v>9143</v>
      </c>
      <c r="E41">
        <f>C41+D41</f>
        <v>9143</v>
      </c>
      <c r="F41">
        <v>9000</v>
      </c>
      <c r="I41" t="b">
        <f>IF(ABS(E41-E42)&gt;=1000,TRUE,FALSE)</f>
        <v>1</v>
      </c>
      <c r="J41" t="b">
        <f>IF(F41&lt;E41,TRUE,FALSE)</f>
        <v>1</v>
      </c>
      <c r="K41" t="b">
        <f>IF(ABS(F41-F42)&gt;=1000,TRUE,FALSE)</f>
        <v>1</v>
      </c>
    </row>
    <row r="42" spans="1:12" x14ac:dyDescent="0.3">
      <c r="A42" t="s">
        <v>36</v>
      </c>
      <c r="B42">
        <f>1.8</f>
        <v>1.8</v>
      </c>
      <c r="C42">
        <f>E39</f>
        <v>10309</v>
      </c>
      <c r="D42">
        <v>252</v>
      </c>
      <c r="E42">
        <f>C42+D42</f>
        <v>10561</v>
      </c>
      <c r="F42">
        <v>10000</v>
      </c>
      <c r="J42" t="b">
        <f>IF(F42&lt;E42,TRUE,FALSE)</f>
        <v>1</v>
      </c>
    </row>
    <row r="44" spans="1:12" x14ac:dyDescent="0.3">
      <c r="A44" t="s">
        <v>37</v>
      </c>
      <c r="B44">
        <f>N8+8.5</f>
        <v>47.4</v>
      </c>
      <c r="C44">
        <v>0</v>
      </c>
      <c r="D44">
        <v>9046</v>
      </c>
      <c r="E44">
        <f>C44+D44</f>
        <v>9046</v>
      </c>
      <c r="I44" t="b">
        <f>IF(ABS(E44-E45)&gt;=1000,TRUE,FALSE)</f>
        <v>1</v>
      </c>
      <c r="J44" t="b">
        <f>IF(F44&lt;E44,TRUE,FALSE)</f>
        <v>1</v>
      </c>
      <c r="K44" t="b">
        <f>IF(ABS(F44-F45)&gt;=1000,TRUE,FALSE)</f>
        <v>0</v>
      </c>
    </row>
    <row r="45" spans="1:12" x14ac:dyDescent="0.3">
      <c r="A45" t="s">
        <v>36</v>
      </c>
      <c r="B45">
        <f>8.9</f>
        <v>8.9</v>
      </c>
      <c r="C45">
        <f>F42</f>
        <v>10000</v>
      </c>
      <c r="D45">
        <v>1632</v>
      </c>
      <c r="E45">
        <f>C45+D45</f>
        <v>11632</v>
      </c>
      <c r="J45" t="b">
        <f>IF(F45&lt;E45,TRUE,FALSE)</f>
        <v>1</v>
      </c>
    </row>
    <row r="47" spans="1:12" x14ac:dyDescent="0.3">
      <c r="A47" t="s">
        <v>34</v>
      </c>
      <c r="B47">
        <v>13.1</v>
      </c>
      <c r="C47">
        <f>F38</f>
        <v>9000</v>
      </c>
      <c r="D47">
        <v>2448</v>
      </c>
      <c r="E47">
        <f>C47+D47</f>
        <v>11448</v>
      </c>
      <c r="I47" t="b">
        <f>IF(ABS(E47-E48)&gt;=1000,TRUE,FALSE)</f>
        <v>1</v>
      </c>
      <c r="J47" t="b">
        <f>IF(F47&lt;E47,TRUE,FALSE)</f>
        <v>1</v>
      </c>
      <c r="K47" t="b">
        <f>IF(ABS(F47-F48)&gt;=1000,TRUE,FALSE)</f>
        <v>0</v>
      </c>
    </row>
    <row r="48" spans="1:12" x14ac:dyDescent="0.3">
      <c r="A48" t="s">
        <v>38</v>
      </c>
      <c r="B48">
        <v>43.2</v>
      </c>
      <c r="C48">
        <v>0</v>
      </c>
      <c r="D48">
        <v>8230</v>
      </c>
      <c r="E48">
        <f>C48+D48</f>
        <v>8230</v>
      </c>
      <c r="J48" t="b">
        <f>IF(F48&lt;E48,TRUE,FALSE)</f>
        <v>1</v>
      </c>
    </row>
    <row r="50" spans="1:11" x14ac:dyDescent="0.3">
      <c r="A50" t="s">
        <v>35</v>
      </c>
      <c r="B50">
        <v>11.8</v>
      </c>
      <c r="C50">
        <f>F41</f>
        <v>9000</v>
      </c>
      <c r="D50">
        <v>2195</v>
      </c>
      <c r="E50">
        <f>C50+D50</f>
        <v>11195</v>
      </c>
      <c r="F50">
        <v>10000</v>
      </c>
      <c r="I50" t="b">
        <f>IF(ABS(E50-E51)&gt;=1000,TRUE,FALSE)</f>
        <v>0</v>
      </c>
      <c r="J50" t="b">
        <f>IF(F50&lt;E50,TRUE,FALSE)</f>
        <v>1</v>
      </c>
      <c r="K50" t="b">
        <f>IF(ABS(F50-F51)&gt;=1000,TRUE,FALSE)</f>
        <v>1</v>
      </c>
    </row>
    <row r="51" spans="1:11" x14ac:dyDescent="0.3">
      <c r="A51" t="s">
        <v>38</v>
      </c>
      <c r="B51">
        <f>16.2+B48</f>
        <v>59.400000000000006</v>
      </c>
      <c r="D51">
        <v>11378</v>
      </c>
      <c r="E51">
        <f>C51+D51</f>
        <v>11378</v>
      </c>
      <c r="F51">
        <v>11000</v>
      </c>
      <c r="J51" t="b">
        <f>IF(F51&lt;E51,TRUE,FALSE)</f>
        <v>1</v>
      </c>
    </row>
    <row r="53" spans="1:11" x14ac:dyDescent="0.3">
      <c r="A53" t="s">
        <v>33</v>
      </c>
      <c r="B53">
        <v>29.6</v>
      </c>
      <c r="C53">
        <v>0</v>
      </c>
      <c r="D53">
        <v>5587</v>
      </c>
      <c r="I53" t="b">
        <f>IF(ABS(E53-E54)&gt;=1000,TRUE,FALSE)</f>
        <v>0</v>
      </c>
      <c r="J53" t="b">
        <f>IF(F53&lt;E53,TRUE,FALSE)</f>
        <v>0</v>
      </c>
      <c r="K53" t="b">
        <f>IF(ABS(F53-F54)&gt;=1000,TRUE,FALSE)</f>
        <v>0</v>
      </c>
    </row>
    <row r="54" spans="1:11" x14ac:dyDescent="0.3">
      <c r="A54" t="s">
        <v>34</v>
      </c>
      <c r="B54">
        <f>N8+38</f>
        <v>76.900000000000006</v>
      </c>
      <c r="C54">
        <v>0</v>
      </c>
      <c r="D54">
        <v>14779</v>
      </c>
      <c r="J54" t="b">
        <f>IF(F54&lt;E54,TRUE,FALSE)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Floris Benschop</dc:creator>
  <cp:lastModifiedBy>Floris Benschop</cp:lastModifiedBy>
  <dcterms:created xsi:type="dcterms:W3CDTF">2025-03-12T17:23:54Z</dcterms:created>
  <dcterms:modified xsi:type="dcterms:W3CDTF">2025-03-12T23:17:37Z</dcterms:modified>
</cp:coreProperties>
</file>